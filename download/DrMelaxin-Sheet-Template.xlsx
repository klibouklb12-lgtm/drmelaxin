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نتج · Product" sheetId="1" state="visible" r:id="rId1"/>
    <sheet xmlns:r="http://schemas.openxmlformats.org/officeDocument/2006/relationships" name="الطلبات · Orders" sheetId="2" state="visible" r:id="rId2"/>
    <sheet xmlns:r="http://schemas.openxmlformats.org/officeDocument/2006/relationships" name="المخزون · Stock" sheetId="3" state="visible" r:id="rId3"/>
    <sheet xmlns:r="http://schemas.openxmlformats.org/officeDocument/2006/relationships" name="الإحصائيات · Statis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6B6358"/>
      <sz val="10"/>
    </font>
    <font>
      <name val="Arial"/>
      <b val="1"/>
      <color rgb="001C1815"/>
      <sz val="11"/>
    </font>
    <font>
      <name val="Arial"/>
      <b val="1"/>
      <color rgb="008b1538"/>
      <sz val="16"/>
    </font>
    <font>
      <name val="Arial"/>
      <color rgb="006B6358"/>
      <sz val="11"/>
    </font>
    <font>
      <name val="Arial"/>
      <b val="1"/>
      <color rgb="009A7E3A"/>
      <sz val="14"/>
    </font>
    <font>
      <b val="1"/>
      <color rgb="00FFFFFF"/>
    </font>
    <font>
      <b val="1"/>
      <color rgb="001C1815"/>
    </font>
  </fonts>
  <fills count="12">
    <fill>
      <patternFill/>
    </fill>
    <fill>
      <patternFill patternType="gray125"/>
    </fill>
    <fill>
      <patternFill patternType="solid">
        <fgColor rgb="002A2520"/>
        <bgColor rgb="002A2520"/>
      </patternFill>
    </fill>
    <fill>
      <patternFill patternType="solid">
        <fgColor rgb="00F5EFE2"/>
        <bgColor rgb="00F5EFE2"/>
      </patternFill>
    </fill>
    <fill>
      <patternFill patternType="solid">
        <fgColor rgb="00FAF8F4"/>
        <bgColor rgb="00FAF8F4"/>
      </patternFill>
    </fill>
    <fill>
      <patternFill patternType="solid">
        <fgColor rgb="00FFFFFF"/>
        <bgColor rgb="00FFFFFF"/>
      </patternFill>
    </fill>
    <fill>
      <patternFill patternType="solid">
        <fgColor rgb="009A7E3A"/>
        <bgColor rgb="009A7E3A"/>
      </patternFill>
    </fill>
    <fill>
      <patternFill patternType="solid">
        <fgColor rgb="003080FF"/>
        <bgColor rgb="003080FF"/>
      </patternFill>
    </fill>
    <fill>
      <patternFill patternType="solid">
        <fgColor rgb="00016630"/>
        <bgColor rgb="00016630"/>
      </patternFill>
    </fill>
    <fill>
      <patternFill patternType="solid">
        <fgColor rgb="00FFD700"/>
        <bgColor rgb="00FFD700"/>
      </patternFill>
    </fill>
    <fill>
      <patternFill patternType="solid">
        <fgColor rgb="002F7D5B"/>
        <bgColor rgb="002F7D5B"/>
      </patternFill>
    </fill>
    <fill>
      <patternFill patternType="solid">
        <fgColor rgb="00E40014"/>
        <bgColor rgb="00E40014"/>
      </patternFill>
    </fill>
  </fills>
  <borders count="2">
    <border>
      <left/>
      <right/>
      <top/>
      <bottom/>
      <diagonal/>
    </border>
    <border>
      <left style="thin">
        <color rgb="00D5CFC0"/>
      </left>
      <right style="thin">
        <color rgb="00D5CFC0"/>
      </right>
      <top style="thin">
        <color rgb="00D5CFC0"/>
      </top>
      <bottom style="thin">
        <color rgb="00D5CFC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right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2" fillId="0" borderId="0" pivotButton="0" quotePrefix="0" xfId="0"/>
    <xf numFmtId="0" fontId="1" fillId="6" borderId="0" pivotButton="0" quotePrefix="0" xfId="0"/>
    <xf numFmtId="0" fontId="5" fillId="4" borderId="1" pivotButton="0" quotePrefix="0" xfId="0"/>
    <xf numFmtId="3" fontId="6" fillId="4" borderId="1" pivotButton="0" quotePrefix="0" xfId="0"/>
    <xf numFmtId="0" fontId="7" fillId="7" borderId="1" pivotButton="0" quotePrefix="0" xfId="0"/>
    <xf numFmtId="0" fontId="8" fillId="0" borderId="1" applyAlignment="1" pivotButton="0" quotePrefix="0" xfId="0">
      <alignment horizontal="center" vertical="center" wrapText="1"/>
    </xf>
    <xf numFmtId="9" fontId="8" fillId="0" borderId="1" applyAlignment="1" pivotButton="0" quotePrefix="0" xfId="0">
      <alignment horizontal="center" vertical="center" wrapText="1"/>
    </xf>
    <xf numFmtId="0" fontId="7" fillId="8" borderId="1" pivotButton="0" quotePrefix="0" xfId="0"/>
    <xf numFmtId="0" fontId="8" fillId="9" borderId="1" pivotButton="0" quotePrefix="0" xfId="0"/>
    <xf numFmtId="0" fontId="7" fillId="10" borderId="1" pivotButton="0" quotePrefix="0" xfId="0"/>
    <xf numFmtId="0" fontId="7" fillId="11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3080FF"/>
          <bgColor rgb="003080FF"/>
        </patternFill>
      </fill>
    </dxf>
    <dxf>
      <font>
        <b val="1"/>
        <color rgb="00FFFFFF"/>
      </font>
      <fill>
        <patternFill patternType="solid">
          <fgColor rgb="00016630"/>
          <bgColor rgb="00016630"/>
        </patternFill>
      </fill>
    </dxf>
    <dxf>
      <font>
        <b val="1"/>
        <color rgb="001C1815"/>
      </font>
      <fill>
        <patternFill patternType="solid">
          <fgColor rgb="00FFD700"/>
          <bgColor rgb="00FFD700"/>
        </patternFill>
      </fill>
    </dxf>
    <dxf>
      <font>
        <b val="1"/>
        <color rgb="00FFFFFF"/>
      </font>
      <fill>
        <patternFill patternType="solid">
          <fgColor rgb="002F7D5B"/>
          <bgColor rgb="002F7D5B"/>
        </patternFill>
      </fill>
    </dxf>
    <dxf>
      <font>
        <b val="1"/>
        <color rgb="00FFFFFF"/>
      </font>
      <fill>
        <patternFill patternType="solid">
          <fgColor rgb="00E40014"/>
          <bgColor rgb="00E4001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.57142857142857" customWidth="1" min="1" max="1"/>
    <col width="50" customWidth="1" min="2" max="2"/>
  </cols>
  <sheetData>
    <row r="1">
      <c r="A1" s="1" t="inlineStr">
        <is>
          <t>الإعداد · Setting</t>
        </is>
      </c>
      <c r="B1" s="1" t="inlineStr">
        <is>
          <t>القيمة · Value</t>
        </is>
      </c>
    </row>
    <row r="2">
      <c r="A2" s="2" t="inlineStr">
        <is>
          <t>⚙️ الإعداد — اسم الإعداد (لا تُغيّره)</t>
        </is>
      </c>
      <c r="B2" s="2" t="inlineStr">
        <is>
          <t>📝 القيمة — عدّلها من هنا والتحديث يكون فورياً للموقع</t>
        </is>
      </c>
    </row>
    <row r="3">
      <c r="A3" s="3" t="inlineStr">
        <is>
          <t>brandName</t>
        </is>
      </c>
      <c r="B3" s="3" t="inlineStr">
        <is>
          <t>Dr.Melaxin</t>
        </is>
      </c>
    </row>
    <row r="4">
      <c r="A4" s="4" t="inlineStr">
        <is>
          <t>lineName</t>
        </is>
      </c>
      <c r="B4" s="4" t="inlineStr">
        <is>
          <t>Cemenrete CX</t>
        </is>
      </c>
    </row>
    <row r="5">
      <c r="A5" s="3" t="inlineStr">
        <is>
          <t>subtitle</t>
        </is>
      </c>
      <c r="B5" s="3" t="inlineStr">
        <is>
          <t>Calcium Volume Multi Balm</t>
        </is>
      </c>
    </row>
    <row r="6">
      <c r="A6" s="4" t="inlineStr">
        <is>
          <t>basePrice</t>
        </is>
      </c>
      <c r="B6" s="4" t="n">
        <v>3900</v>
      </c>
    </row>
    <row r="7">
      <c r="A7" s="3" t="inlineStr">
        <is>
          <t>oldPrice</t>
        </is>
      </c>
      <c r="B7" s="3" t="n">
        <v>5800</v>
      </c>
    </row>
    <row r="8">
      <c r="A8" s="4" t="inlineStr">
        <is>
          <t>taglineArabic</t>
        </is>
      </c>
      <c r="B8" s="4" t="inlineStr">
        <is>
          <t>✨ ستيك للعناية بالتجاعيد لبشرة أكثر نعومة وتماسكاً.</t>
        </is>
      </c>
    </row>
    <row r="9">
      <c r="A9" s="3" t="inlineStr">
        <is>
          <t>descriptionArabic</t>
        </is>
      </c>
      <c r="B9" s="3" t="inlineStr">
        <is>
          <t>تساعد تركيبته على تقليل مظهر التجاعيد والخطوط الدقيقة، مع ترطيب البشرة ومنحها مظهراً أكثر إشراقاً ونعومة.</t>
        </is>
      </c>
    </row>
    <row r="10">
      <c r="A10" s="4" t="inlineStr">
        <is>
          <t>benefitsArabic</t>
        </is>
      </c>
      <c r="B10" s="4" t="inlineStr">
        <is>
          <t>مضاد للتجاعيد • تماسك • ترطيب • إشراقة</t>
        </is>
      </c>
    </row>
    <row r="11">
      <c r="A11" s="3" t="inlineStr">
        <is>
          <t>taglineFrench</t>
        </is>
      </c>
      <c r="B11" s="3" t="inlineStr">
        <is>
          <t>✨ Le stick anti-ridules pour une peau visiblement plus lisse et plus ferme.</t>
        </is>
      </c>
    </row>
    <row r="12">
      <c r="A12" s="4" t="inlineStr">
        <is>
          <t>descriptionFrench</t>
        </is>
      </c>
      <c r="B12" s="4" t="inlineStr">
        <is>
          <t>Sa formule aide à réduire l'apparence des rides et ridules, tout en apportant hydratation, confort et éclat à la peau.</t>
        </is>
      </c>
    </row>
    <row r="13">
      <c r="A13" s="3" t="inlineStr">
        <is>
          <t>benefitsFrench</t>
        </is>
      </c>
      <c r="B13" s="3" t="inlineStr">
        <is>
          <t>Anti-ridules • Fermeté • Hydratation • Éclat</t>
        </is>
      </c>
    </row>
    <row r="14">
      <c r="A14" s="4" t="inlineStr">
        <is>
          <t>badgeArabic</t>
        </is>
      </c>
      <c r="B14" s="4" t="inlineStr">
        <is>
          <t>مضاد للتجاعيد</t>
        </is>
      </c>
    </row>
    <row r="15">
      <c r="A15" s="3" t="inlineStr">
        <is>
          <t>freeShipping</t>
        </is>
      </c>
      <c r="B15" s="3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التاريخ · Date</t>
        </is>
      </c>
      <c r="B1" s="1" t="inlineStr">
        <is>
          <t>رقم الطلب · Order No</t>
        </is>
      </c>
      <c r="C1" s="1" t="inlineStr">
        <is>
          <t>الحالة · Status</t>
        </is>
      </c>
      <c r="D1" s="1" t="inlineStr">
        <is>
          <t>الاسم · Customer</t>
        </is>
      </c>
      <c r="E1" s="1" t="inlineStr">
        <is>
          <t>الهاتف · Phone</t>
        </is>
      </c>
      <c r="F1" s="1" t="inlineStr">
        <is>
          <t>الولاية · Wilaya</t>
        </is>
      </c>
      <c r="G1" s="1" t="inlineStr">
        <is>
          <t>البلدية · Commune</t>
        </is>
      </c>
      <c r="H1" s="1" t="inlineStr">
        <is>
          <t>التوصيل · Delivery</t>
        </is>
      </c>
      <c r="I1" s="1" t="inlineStr">
        <is>
          <t>الكمية · Qty</t>
        </is>
      </c>
      <c r="J1" s="1" t="inlineStr">
        <is>
          <t>سعر الوحدة · Unit Price</t>
        </is>
      </c>
      <c r="K1" s="1" t="inlineStr">
        <is>
          <t>الخصم · Discount</t>
        </is>
      </c>
      <c r="L1" s="1" t="inlineStr">
        <is>
          <t>التوصيل · Shipping</t>
        </is>
      </c>
      <c r="M1" s="1" t="inlineStr">
        <is>
          <t>الإجمالي · Total</t>
        </is>
      </c>
      <c r="N1" s="1" t="inlineStr">
        <is>
          <t>ملاحظات · Notes</t>
        </is>
      </c>
    </row>
    <row r="2">
      <c r="A2" s="5" t="inlineStr">
        <is>
          <t>📅 تلقائي</t>
        </is>
      </c>
      <c r="B2" s="5" t="inlineStr">
        <is>
          <t>🔢 تلقائي</t>
        </is>
      </c>
      <c r="C2" s="5" t="inlineStr">
        <is>
          <t>🔵 اختر: New → Confirmed → Shipped → Delivered → Cancelled</t>
        </is>
      </c>
      <c r="D2" s="5" t="inlineStr">
        <is>
          <t>👤 اسم الزبون</t>
        </is>
      </c>
      <c r="E2" s="5" t="inlineStr">
        <is>
          <t>📞 رقم الهاتف</t>
        </is>
      </c>
      <c r="F2" s="5" t="inlineStr">
        <is>
          <t>📍 الولاية</t>
        </is>
      </c>
      <c r="G2" s="5" t="inlineStr">
        <is>
          <t>🏘️ البلدية</t>
        </is>
      </c>
      <c r="H2" s="5" t="inlineStr">
        <is>
          <t>🏠 طريقة التوصيل</t>
        </is>
      </c>
      <c r="I2" s="5" t="inlineStr">
        <is>
          <t>🔢 الكمية</t>
        </is>
      </c>
      <c r="J2" s="5" t="inlineStr">
        <is>
          <t>💰 سعر الوحدة</t>
        </is>
      </c>
      <c r="K2" s="5" t="inlineStr">
        <is>
          <t>٪ الخصم</t>
        </is>
      </c>
      <c r="L2" s="5" t="inlineStr">
        <is>
          <t>🚚 سعر التوصيل</t>
        </is>
      </c>
      <c r="M2" s="5" t="inlineStr">
        <is>
          <t>💵 المجموع الكلي</t>
        </is>
      </c>
      <c r="N2" s="5" t="inlineStr">
        <is>
          <t>📝 ملاحظات</t>
        </is>
      </c>
    </row>
  </sheetData>
  <conditionalFormatting sqref="C3:C1000">
    <cfRule type="cellIs" priority="1" operator="equal" dxfId="0">
      <formula>"New"</formula>
    </cfRule>
    <cfRule type="cellIs" priority="2" operator="equal" dxfId="1">
      <formula>"Confirmed"</formula>
    </cfRule>
    <cfRule type="cellIs" priority="3" operator="equal" dxfId="2">
      <formula>"Shipped"</formula>
    </cfRule>
    <cfRule type="cellIs" priority="4" operator="equal" dxfId="3">
      <formula>"Delivered"</formula>
    </cfRule>
    <cfRule type="cellIs" priority="5" operator="equal" dxfId="4">
      <formula>"Cancelled"</formula>
    </cfRule>
  </conditionalFormatting>
  <dataValidations count="1">
    <dataValidation sqref="C3:C1000" showDropDown="0" showInputMessage="0" showErrorMessage="0" allowBlank="0" errorTitle="قيمة غير صحيحة" error="اختر من القائمة" type="list">
      <formula1>"New,Confirmed,Shipped,Delivered,Cancelled"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60" customWidth="1" min="4" max="4"/>
  </cols>
  <sheetData>
    <row r="1">
      <c r="A1" s="1" t="inlineStr">
        <is>
          <t>اسم المنتج · Product</t>
        </is>
      </c>
      <c r="B1" s="1" t="inlineStr">
        <is>
          <t>الكمية · Stock</t>
        </is>
      </c>
      <c r="D1" s="6" t="inlineStr">
        <is>
          <t>📖 دليل المخزون</t>
        </is>
      </c>
    </row>
    <row r="2">
      <c r="A2" s="2" t="inlineStr">
        <is>
          <t>🏷️ اسم المنتج (كما هو في تبويب المنتج)</t>
        </is>
      </c>
      <c r="B2" s="2" t="inlineStr">
        <is>
          <t>📦 اكتب رقم: 100، 3، 0 (فارغ = غير محدود)</t>
        </is>
      </c>
      <c r="D2" s="7" t="inlineStr">
        <is>
          <t>1. ضع الكمية الأولية في الخلية B3 (مثلاً 100)</t>
        </is>
      </c>
    </row>
    <row r="3">
      <c r="A3" s="3" t="inlineStr">
        <is>
          <t>Cemenrete CX</t>
        </is>
      </c>
      <c r="B3" s="3" t="n">
        <v>100</v>
      </c>
      <c r="D3" s="7" t="inlineStr">
        <is>
          <t>2. عند تغيير حالة طلب إلى 'Confirmed' في تبويب الطلبات،</t>
        </is>
      </c>
    </row>
    <row r="4">
      <c r="D4" s="7" t="inlineStr">
        <is>
          <t xml:space="preserve">   يقل المخزون تلقائياً بقدر كمية الطلب</t>
        </is>
      </c>
    </row>
    <row r="5">
      <c r="D5" s="7" t="inlineStr">
        <is>
          <t>3. عند وصول المخزون إلى 3 أو أقل، يظهر تنبيه في الموقع</t>
        </is>
      </c>
    </row>
    <row r="6">
      <c r="D6" s="7" t="inlineStr">
        <is>
          <t>4. عند وصول المخزون إلى 0، يتعطل الطلب في الموقع</t>
        </is>
      </c>
    </row>
    <row r="7">
      <c r="D7" s="7" t="inlineStr">
        <is>
          <t>5. لإعادة التعبئة، غيّر الرقم في B3 فقط</t>
        </is>
      </c>
    </row>
    <row r="8">
      <c r="D8" s="7" t="inlineStr">
        <is>
          <t>6. الموقع يفحص المخزون فقط عندما يكون منخفضاً (3 أو أقل)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20" customWidth="1" min="4" max="4"/>
    <col width="15" customWidth="1" min="5" max="5"/>
    <col width="15" customWidth="1" min="6" max="6"/>
  </cols>
  <sheetData>
    <row r="1">
      <c r="A1" s="6" t="inlineStr">
        <is>
          <t>📊 لوحة الإحصائيات · Tableau de bord</t>
        </is>
      </c>
    </row>
    <row r="3">
      <c r="A3" s="8" t="inlineStr">
        <is>
          <t>🔑 المؤشرات الرئيسية · Indicateurs clés</t>
        </is>
      </c>
    </row>
    <row r="4">
      <c r="A4" s="9" t="inlineStr">
        <is>
          <t>📦 إجمالي الطلبات</t>
        </is>
      </c>
      <c r="B4" s="10">
        <f>COUNTA('الطلبات · Orders'!B3:B10000)</f>
        <v/>
      </c>
    </row>
    <row r="5">
      <c r="A5" s="9" t="inlineStr">
        <is>
          <t>💰 إجمالي المبيعات</t>
        </is>
      </c>
      <c r="B5" s="10">
        <f>SUMIFS('الطلبات · Orders'!M3:M10000,'الطلبات · Orders'!C3:C10000,"&lt;&gt;Cancelled")</f>
        <v/>
      </c>
    </row>
    <row r="6">
      <c r="A6" s="9" t="inlineStr">
        <is>
          <t>📈 متوسط قيمة الطلب</t>
        </is>
      </c>
      <c r="B6" s="10">
        <f>IFERROR(AVERAGEIFS('الطلبات · Orders'!M3:M10000,'الطلبات · Orders'!C3:C10000,"&lt;&gt;Cancelled"),0)</f>
        <v/>
      </c>
    </row>
    <row r="7">
      <c r="A7" s="9" t="inlineStr">
        <is>
          <t>🆕 طلبات جديدة</t>
        </is>
      </c>
      <c r="B7" s="10">
        <f>COUNTIF('الطلبات · Orders'!C3:C10000,"New")</f>
        <v/>
      </c>
    </row>
    <row r="8">
      <c r="A8" s="9" t="inlineStr">
        <is>
          <t>✅ طلبات مكتملة</t>
        </is>
      </c>
      <c r="B8" s="10">
        <f>COUNTIF('الطلبات · Orders'!C3:C10000,"Delivered")</f>
        <v/>
      </c>
    </row>
    <row r="10">
      <c r="A10" s="8" t="inlineStr">
        <is>
          <t>📋 تفصيل الطلبات · Statut</t>
        </is>
      </c>
    </row>
    <row r="11">
      <c r="A11" s="1" t="inlineStr">
        <is>
          <t>الحالة · Statut</t>
        </is>
      </c>
      <c r="B11" s="1" t="inlineStr">
        <is>
          <t>العدد · Nombre</t>
        </is>
      </c>
      <c r="C11" s="1" t="inlineStr">
        <is>
          <t>النسبة · %</t>
        </is>
      </c>
      <c r="D11" s="1" t="inlineStr">
        <is>
          <t>المبلغ · Montant</t>
        </is>
      </c>
    </row>
    <row r="12">
      <c r="A12" s="11" t="inlineStr">
        <is>
          <t>🆕 New</t>
        </is>
      </c>
      <c r="B12" s="12">
        <f>COUNTIF('الطلبات · Orders'!C3:C10000,"New")</f>
        <v/>
      </c>
      <c r="C12" s="13">
        <f>IFERROR(B12/SUM($B$12:$B$16),0)</f>
        <v/>
      </c>
      <c r="D12" s="12">
        <f>SUMIFS('الطلبات · Orders'!M3:M10000,'الطلبات · Orders'!C3:C10000,"New")</f>
        <v/>
      </c>
    </row>
    <row r="13">
      <c r="A13" s="14" t="inlineStr">
        <is>
          <t>✅ Confirmed</t>
        </is>
      </c>
      <c r="B13" s="12">
        <f>COUNTIF('الطلبات · Orders'!C3:C10000,"Confirmed")</f>
        <v/>
      </c>
      <c r="C13" s="13">
        <f>IFERROR(B13/SUM($B$12:$B$16),0)</f>
        <v/>
      </c>
      <c r="D13" s="12">
        <f>SUMIFS('الطلبات · Orders'!M3:M10000,'الطلبات · Orders'!C3:C10000,"Confirmed")</f>
        <v/>
      </c>
    </row>
    <row r="14">
      <c r="A14" s="15" t="inlineStr">
        <is>
          <t>🚚 Shipped</t>
        </is>
      </c>
      <c r="B14" s="12">
        <f>COUNTIF('الطلبات · Orders'!C3:C10000,"Shipped")</f>
        <v/>
      </c>
      <c r="C14" s="13">
        <f>IFERROR(B14/SUM($B$12:$B$16),0)</f>
        <v/>
      </c>
      <c r="D14" s="12">
        <f>SUMIFS('الطلبات · Orders'!M3:M10000,'الطلبات · Orders'!C3:C10000,"Shipped")</f>
        <v/>
      </c>
    </row>
    <row r="15">
      <c r="A15" s="16" t="inlineStr">
        <is>
          <t>📦 Delivered</t>
        </is>
      </c>
      <c r="B15" s="12">
        <f>COUNTIF('الطلبات · Orders'!C3:C10000,"Delivered")</f>
        <v/>
      </c>
      <c r="C15" s="13">
        <f>IFERROR(B15/SUM($B$12:$B$16),0)</f>
        <v/>
      </c>
      <c r="D15" s="12">
        <f>SUMIFS('الطلبات · Orders'!M3:M10000,'الطلبات · Orders'!C3:C10000,"Delivered")</f>
        <v/>
      </c>
    </row>
    <row r="16">
      <c r="A16" s="17" t="inlineStr">
        <is>
          <t>❌ Cancelled</t>
        </is>
      </c>
      <c r="B16" s="12">
        <f>COUNTIF('الطلبات · Orders'!C3:C10000,"Cancelled")</f>
        <v/>
      </c>
      <c r="C16" s="13">
        <f>IFERROR(B16/SUM($B$12:$B$16),0)</f>
        <v/>
      </c>
      <c r="D16" s="12">
        <f>SUMIFS('الطلبات · Orders'!M3:M10000,'الطلبات · Orders'!C3:C10000,"Cancelled")</f>
        <v/>
      </c>
    </row>
    <row r="18">
      <c r="A18" s="8" t="inlineStr">
        <is>
          <t>🏆 أعلى الولايات · Top Wilayas</t>
        </is>
      </c>
    </row>
    <row r="19">
      <c r="A19" s="1" t="inlineStr">
        <is>
          <t>الولاية · Wilaya</t>
        </is>
      </c>
      <c r="B19" s="1" t="inlineStr">
        <is>
          <t>الطلبات · Orders</t>
        </is>
      </c>
      <c r="C19" s="1" t="inlineStr">
        <is>
          <t>المبلغ · Revenue</t>
        </is>
      </c>
    </row>
    <row r="20">
      <c r="A20">
        <f>QUERY('الطلبات · Orders'!F3:F10000, "SELECT F, COUNT(F) WHERE F IS NOT NULL GROUP BY F ORDER BY COUNT(F) DESC LIMIT 10 LABEL F 'الولاية', COUNT(F) 'العدد'", 0)</f>
        <v/>
      </c>
    </row>
  </sheetData>
  <mergeCells count="4">
    <mergeCell ref="A3:F3"/>
    <mergeCell ref="A10:D10"/>
    <mergeCell ref="A1:F1"/>
    <mergeCell ref="A18:C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2026-08-12T15:26:43Z</dcterms:created>
  <dcterms:modified xmlns:dcterms="http://purl.org/dc/terms/" xmlns:xsi="http://www.w3.org/2001/XMLSchema-instance" xsi:type="dcterms:W3CDTF">2026-08-12T15:26:43Z</dcterms:modified>
</cp:coreProperties>
</file>