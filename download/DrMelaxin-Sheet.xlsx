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tock" sheetId="3" state="visible" r:id="rId3"/>
    <sheet xmlns:r="http://schemas.openxmlformats.org/officeDocument/2006/relationships" name="Product" sheetId="4" state="visible" r:id="rId4"/>
  </sheets>
  <definedNames>
    <definedName name="_xlnm._FilterDatabase" localSheetId="1" hidden="1">'Orders'!$A$1:$K$1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24"/>
    </font>
    <font>
      <name val="Arial"/>
      <b val="1"/>
      <color rgb="008B1538"/>
      <sz val="14"/>
    </font>
    <font>
      <name val="Arial"/>
      <b val="1"/>
      <color rgb="00FFFFFF"/>
      <sz val="11"/>
    </font>
    <font>
      <name val="Arial"/>
      <b val="1"/>
      <color rgb="008B1538"/>
      <sz val="28"/>
    </font>
    <font>
      <name val="Arial"/>
      <color rgb="006B6358"/>
      <sz val="9"/>
    </font>
    <font>
      <name val="Arial"/>
      <b val="1"/>
      <color rgb="00D4AF37"/>
      <sz val="28"/>
    </font>
    <font>
      <name val="Arial"/>
      <b val="1"/>
      <color rgb="00016630"/>
      <sz val="28"/>
    </font>
    <font>
      <name val="Arial"/>
      <b val="1"/>
      <color rgb="002F7D5B"/>
      <sz val="28"/>
    </font>
    <font>
      <name val="Arial"/>
      <b val="1"/>
      <sz val="12"/>
    </font>
    <font>
      <name val="Arial"/>
      <color rgb="006B6358"/>
      <sz val="11"/>
    </font>
    <font>
      <name val="Arial"/>
      <b val="1"/>
      <color rgb="001C1815"/>
      <sz val="11"/>
    </font>
    <font>
      <name val="Arial"/>
      <sz val="11"/>
    </font>
    <font>
      <name val="Arial"/>
      <b val="1"/>
      <sz val="11"/>
    </font>
    <font>
      <name val="Arial"/>
      <color rgb="006B6358"/>
      <sz val="10"/>
    </font>
    <font>
      <name val="Arial"/>
      <color rgb="00999999"/>
      <sz val="11"/>
    </font>
    <font>
      <name val="Arial"/>
      <b val="1"/>
      <color rgb="00D4AF37"/>
      <sz val="11"/>
    </font>
    <font>
      <name val="Arial"/>
      <b val="1"/>
      <color rgb="008B1538"/>
      <sz val="11"/>
    </font>
  </fonts>
  <fills count="12">
    <fill>
      <patternFill/>
    </fill>
    <fill>
      <patternFill patternType="gray125"/>
    </fill>
    <fill>
      <patternFill patternType="solid">
        <fgColor rgb="008B1538"/>
        <bgColor rgb="008B1538"/>
      </patternFill>
    </fill>
    <fill>
      <patternFill patternType="solid">
        <fgColor rgb="00F7F5F2"/>
        <bgColor rgb="00F7F5F2"/>
      </patternFill>
    </fill>
    <fill>
      <patternFill patternType="solid">
        <fgColor rgb="00D4AF37"/>
        <bgColor rgb="00D4AF37"/>
      </patternFill>
    </fill>
    <fill>
      <patternFill patternType="solid">
        <fgColor rgb="00016630"/>
        <bgColor rgb="00016630"/>
      </patternFill>
    </fill>
    <fill>
      <patternFill patternType="solid">
        <fgColor rgb="002F7D5B"/>
        <bgColor rgb="002F7D5B"/>
      </patternFill>
    </fill>
    <fill>
      <patternFill patternType="solid">
        <fgColor rgb="002A2520"/>
        <bgColor rgb="002A2520"/>
      </patternFill>
    </fill>
    <fill>
      <patternFill patternType="solid">
        <fgColor rgb="003080FF"/>
        <bgColor rgb="003080FF"/>
      </patternFill>
    </fill>
    <fill>
      <patternFill patternType="solid">
        <fgColor rgb="00FFD700"/>
        <bgColor rgb="00FFD700"/>
      </patternFill>
    </fill>
    <fill>
      <patternFill patternType="solid">
        <fgColor rgb="00E40014"/>
        <bgColor rgb="00E40014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11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16" fillId="0" borderId="0" pivotButton="0" quotePrefix="0" xfId="0"/>
    <xf numFmtId="0" fontId="17" fillId="3" borderId="1" pivotButton="0" quotePrefix="0" xfId="0"/>
    <xf numFmtId="0" fontId="12" fillId="3" borderId="1" pivotButton="0" quotePrefix="0" xfId="0"/>
  </cellXfs>
  <cellStyles count="1">
    <cellStyle name="Normal" xfId="0" builtinId="0" hidden="0"/>
  </cellStyles>
  <dxfs count="5">
    <dxf>
      <font>
        <name val="Arial"/>
        <b val="1"/>
        <color rgb="00FFFFFF"/>
        <sz val="11"/>
      </font>
      <fill>
        <patternFill patternType="solid">
          <fgColor rgb="003080FF"/>
          <bgColor rgb="003080FF"/>
        </patternFill>
      </fill>
    </dxf>
    <dxf>
      <font>
        <name val="Arial"/>
        <b val="1"/>
        <color rgb="00FFFFFF"/>
        <sz val="11"/>
      </font>
      <fill>
        <patternFill patternType="solid">
          <fgColor rgb="00016630"/>
          <bgColor rgb="00016630"/>
        </patternFill>
      </fill>
    </dxf>
    <dxf>
      <font>
        <name val="Arial"/>
        <b val="1"/>
        <color rgb="001C1815"/>
        <sz val="11"/>
      </font>
      <fill>
        <patternFill patternType="solid">
          <fgColor rgb="00FFD700"/>
          <bgColor rgb="00FFD700"/>
        </patternFill>
      </fill>
    </dxf>
    <dxf>
      <font>
        <name val="Arial"/>
        <b val="1"/>
        <color rgb="00FFFFFF"/>
        <sz val="11"/>
      </font>
      <fill>
        <patternFill patternType="solid">
          <fgColor rgb="002F7D5B"/>
          <bgColor rgb="002F7D5B"/>
        </patternFill>
      </fill>
    </dxf>
    <dxf>
      <font>
        <name val="Arial"/>
        <b val="1"/>
        <color rgb="00FFFFFF"/>
        <sz val="11"/>
      </font>
      <fill>
        <patternFill patternType="solid">
          <fgColor rgb="00E40014"/>
          <bgColor rgb="00E4001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F1" s="1" t="n"/>
    </row>
    <row r="2" ht="50" customHeight="1">
      <c r="A2" s="1" t="n"/>
      <c r="B2" s="2" t="inlineStr">
        <is>
          <t>لوحة التحكم · Dashboard</t>
        </is>
      </c>
      <c r="F2" s="1" t="n"/>
    </row>
    <row r="3">
      <c r="A3" s="1" t="n"/>
      <c r="F3" s="1" t="n"/>
    </row>
    <row r="4">
      <c r="A4" s="1" t="n"/>
      <c r="B4" s="3" t="inlineStr">
        <is>
          <t>📊 النظرة العامة · Overview</t>
        </is>
      </c>
      <c r="F4" s="1" t="n"/>
    </row>
    <row r="5" ht="24" customHeight="1">
      <c r="A5" s="1" t="n"/>
      <c r="B5" s="4" t="inlineStr">
        <is>
          <t>إجمالي الطلبات</t>
        </is>
      </c>
      <c r="C5" s="5" t="inlineStr">
        <is>
          <t>إجمالي الإيرادات</t>
        </is>
      </c>
      <c r="D5" s="6" t="inlineStr">
        <is>
          <t>متوسط الطلب</t>
        </is>
      </c>
      <c r="E5" s="7" t="inlineStr">
        <is>
          <t>المخزون الحالي</t>
        </is>
      </c>
      <c r="F5" s="1" t="n"/>
    </row>
    <row r="6" ht="50" customHeight="1">
      <c r="A6" s="1" t="n"/>
      <c r="B6" s="8">
        <f>COUNTA(Orders!B2:B)</f>
        <v/>
      </c>
      <c r="C6" s="9">
        <f>SUM(Orders!I2:I)</f>
        <v/>
      </c>
      <c r="D6" s="10">
        <f>IFERROR(ROUND(AVERAGE(Orders!I2:I),0),0)</f>
        <v/>
      </c>
      <c r="E6" s="11">
        <f>Stock!B2</f>
        <v/>
      </c>
      <c r="F6" s="1" t="n"/>
    </row>
    <row r="7" ht="18" customHeight="1">
      <c r="A7" s="1" t="n"/>
      <c r="B7" s="12" t="inlineStr">
        <is>
          <t>Total Orders</t>
        </is>
      </c>
      <c r="C7" s="12" t="inlineStr">
        <is>
          <t>Revenue (DA)</t>
        </is>
      </c>
      <c r="D7" s="12" t="inlineStr">
        <is>
          <t>Avg Order (DA)</t>
        </is>
      </c>
      <c r="E7" s="12" t="inlineStr">
        <is>
          <t>Current Stock</t>
        </is>
      </c>
      <c r="F7" s="1" t="n"/>
    </row>
    <row r="8">
      <c r="A8" s="1" t="n"/>
      <c r="F8" s="1" t="n"/>
    </row>
    <row r="9">
      <c r="A9" s="1" t="n"/>
      <c r="B9" s="3" t="inlineStr">
        <is>
          <t>📋 حالة الطلبات · Order Status</t>
        </is>
      </c>
      <c r="F9" s="1" t="n"/>
    </row>
    <row r="10" ht="28" customHeight="1">
      <c r="A10" s="1" t="n"/>
      <c r="B10" s="13" t="inlineStr">
        <is>
          <t>Status</t>
        </is>
      </c>
      <c r="C10" s="13" t="inlineStr">
        <is>
          <t>Count</t>
        </is>
      </c>
      <c r="D10" s="13" t="inlineStr">
        <is>
          <t>العدد</t>
        </is>
      </c>
      <c r="F10" s="1" t="n"/>
    </row>
    <row r="11" ht="28" customHeight="1">
      <c r="A11" s="1" t="n"/>
      <c r="B11" s="14" t="inlineStr">
        <is>
          <t>New</t>
        </is>
      </c>
      <c r="C11" s="15">
        <f>COUNTIF(Orders!C2:C,"New")</f>
        <v/>
      </c>
      <c r="D11" s="16" t="inlineStr">
        <is>
          <t>جديد</t>
        </is>
      </c>
      <c r="F11" s="1" t="n"/>
    </row>
    <row r="12" ht="28" customHeight="1">
      <c r="A12" s="1" t="n"/>
      <c r="B12" s="6" t="inlineStr">
        <is>
          <t>Confirmed</t>
        </is>
      </c>
      <c r="C12" s="15">
        <f>COUNTIF(Orders!C2:C,"Confirmed")</f>
        <v/>
      </c>
      <c r="D12" s="16" t="inlineStr">
        <is>
          <t>مؤكد</t>
        </is>
      </c>
      <c r="F12" s="1" t="n"/>
    </row>
    <row r="13" ht="28" customHeight="1">
      <c r="A13" s="1" t="n"/>
      <c r="B13" s="17" t="inlineStr">
        <is>
          <t>Shipped</t>
        </is>
      </c>
      <c r="C13" s="15">
        <f>COUNTIF(Orders!C2:C,"Shipped")</f>
        <v/>
      </c>
      <c r="D13" s="16" t="inlineStr">
        <is>
          <t>مشحون</t>
        </is>
      </c>
      <c r="F13" s="1" t="n"/>
    </row>
    <row r="14" ht="28" customHeight="1">
      <c r="A14" s="1" t="n"/>
      <c r="B14" s="7" t="inlineStr">
        <is>
          <t>Delivered</t>
        </is>
      </c>
      <c r="C14" s="15">
        <f>COUNTIF(Orders!C2:C,"Delivered")</f>
        <v/>
      </c>
      <c r="D14" s="16" t="inlineStr">
        <is>
          <t>مسلّم</t>
        </is>
      </c>
      <c r="F14" s="1" t="n"/>
    </row>
    <row r="15" ht="28" customHeight="1">
      <c r="A15" s="1" t="n"/>
      <c r="B15" s="18" t="inlineStr">
        <is>
          <t>Cancelled</t>
        </is>
      </c>
      <c r="C15" s="15">
        <f>COUNTIF(Orders!C2:C,"Cancelled")</f>
        <v/>
      </c>
      <c r="D15" s="16" t="inlineStr">
        <is>
          <t>ملغى</t>
        </is>
      </c>
      <c r="F15" s="1" t="n"/>
    </row>
    <row r="16">
      <c r="A16" s="1" t="n"/>
      <c r="F16" s="1" t="n"/>
    </row>
    <row r="17">
      <c r="A17" s="1" t="n"/>
      <c r="B17" s="3" t="inlineStr">
        <is>
          <t>🌍 أعلى الولايات · Top Wilayas</t>
        </is>
      </c>
      <c r="F17" s="1" t="n"/>
    </row>
    <row r="18" ht="28" customHeight="1">
      <c r="A18" s="1" t="n"/>
      <c r="B18" s="13" t="inlineStr">
        <is>
          <t>Wilaya</t>
        </is>
      </c>
      <c r="C18" s="13" t="inlineStr">
        <is>
          <t>Orders</t>
        </is>
      </c>
      <c r="D18" s="13" t="inlineStr">
        <is>
          <t>الطلبات</t>
        </is>
      </c>
      <c r="F18" s="1" t="n"/>
    </row>
    <row r="19" ht="24" customHeight="1">
      <c r="A19" s="1" t="n"/>
      <c r="B19" s="19">
        <f>IFERROR(QUERY(Orders!F2:F,"select F, count(F) where F is not null group by F order by count(F) desc limit 5 label count(F) ''",0),"")</f>
        <v/>
      </c>
      <c r="C19" s="20">
        <f>IFERROR(QUERY(Orders!F2:F,"select count(F) where F is not null group by F order by count(F) desc limit 5 label count(F) ''",0),"")</f>
        <v/>
      </c>
      <c r="D19" s="19" t="n"/>
      <c r="F19" s="1" t="n"/>
    </row>
    <row r="20" ht="24" customHeight="1">
      <c r="A20" s="1" t="n"/>
      <c r="B20" s="19" t="n"/>
      <c r="C20" s="20" t="n"/>
      <c r="D20" s="19" t="n"/>
      <c r="F20" s="1" t="n"/>
    </row>
    <row r="21" ht="24" customHeight="1">
      <c r="A21" s="1" t="n"/>
      <c r="B21" s="19" t="n"/>
      <c r="C21" s="20" t="n"/>
      <c r="D21" s="19" t="n"/>
      <c r="F21" s="1" t="n"/>
    </row>
    <row r="22" ht="24" customHeight="1">
      <c r="A22" s="1" t="n"/>
      <c r="B22" s="19" t="n"/>
      <c r="C22" s="20" t="n"/>
      <c r="D22" s="19" t="n"/>
      <c r="F22" s="1" t="n"/>
    </row>
    <row r="23" ht="24" customHeight="1">
      <c r="A23" s="1" t="n"/>
      <c r="B23" s="19" t="n"/>
      <c r="C23" s="20" t="n"/>
      <c r="D23" s="19" t="n"/>
      <c r="F23" s="1" t="n"/>
    </row>
    <row r="24">
      <c r="A24" s="1" t="n"/>
      <c r="F24" s="1" t="n"/>
    </row>
    <row r="25">
      <c r="A25" s="1" t="n"/>
      <c r="B25" s="3" t="inlineStr">
        <is>
          <t>🕒 أحدث الطلبات · Recent Orders</t>
        </is>
      </c>
      <c r="F25" s="1" t="n"/>
    </row>
    <row r="26" ht="28" customHeight="1">
      <c r="A26" s="1" t="n"/>
      <c r="B26" s="13" t="inlineStr">
        <is>
          <t>Order No</t>
        </is>
      </c>
      <c r="C26" s="13" t="inlineStr">
        <is>
          <t>Customer</t>
        </is>
      </c>
      <c r="D26" s="13" t="inlineStr">
        <is>
          <t>Wilaya</t>
        </is>
      </c>
      <c r="E26" s="13" t="inlineStr">
        <is>
          <t>Total (DA)</t>
        </is>
      </c>
      <c r="F26" s="1" t="n"/>
    </row>
    <row r="27" ht="24" customHeight="1">
      <c r="A27" s="1" t="n"/>
      <c r="B27" s="19">
        <f>IFERROR(QUERY(Orders!B2:I,"select B, D, F, I order by A desc limit 5 label B '', D '', F '', I ''",0),"")</f>
        <v/>
      </c>
      <c r="C27" s="19" t="n"/>
      <c r="D27" s="19" t="n"/>
      <c r="E27" s="20" t="n"/>
      <c r="F27" s="1" t="n"/>
    </row>
    <row r="28" ht="24" customHeight="1">
      <c r="A28" s="1" t="n"/>
      <c r="B28" s="19" t="n"/>
      <c r="C28" s="19" t="n"/>
      <c r="D28" s="19" t="n"/>
      <c r="E28" s="20" t="n"/>
      <c r="F28" s="1" t="n"/>
    </row>
    <row r="29" ht="24" customHeight="1">
      <c r="A29" s="1" t="n"/>
      <c r="B29" s="19" t="n"/>
      <c r="C29" s="19" t="n"/>
      <c r="D29" s="19" t="n"/>
      <c r="E29" s="20" t="n"/>
      <c r="F29" s="1" t="n"/>
    </row>
    <row r="30" ht="24" customHeight="1">
      <c r="A30" s="1" t="n"/>
      <c r="B30" s="19" t="n"/>
      <c r="C30" s="19" t="n"/>
      <c r="D30" s="19" t="n"/>
      <c r="E30" s="20" t="n"/>
      <c r="F30" s="1" t="n"/>
    </row>
    <row r="31" ht="24" customHeight="1">
      <c r="A31" s="1" t="n"/>
      <c r="B31" s="19" t="n"/>
      <c r="C31" s="19" t="n"/>
      <c r="D31" s="19" t="n"/>
      <c r="E31" s="20" t="n"/>
      <c r="F31" s="1" t="n"/>
    </row>
    <row r="32">
      <c r="A32" s="1" t="n"/>
      <c r="F32" s="1" t="n"/>
    </row>
    <row r="33">
      <c r="A33" s="1" t="n"/>
      <c r="B33" s="21" t="inlineStr">
        <is>
          <t>💡 يتم تحديث الإحصائيات تلقائياً عند كل طلب جديد</t>
        </is>
      </c>
      <c r="F33" s="1" t="n"/>
    </row>
    <row r="34">
      <c r="A34" s="1" t="n"/>
      <c r="B34" s="21" t="inlineStr">
        <is>
          <t>💡 Statistics auto-update on every new order</t>
        </is>
      </c>
      <c r="F34" s="1" t="n"/>
    </row>
  </sheetData>
  <mergeCells count="3">
    <mergeCell ref="B33:E33"/>
    <mergeCell ref="B2:E2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22" customWidth="1" min="4" max="4"/>
    <col width="16" customWidth="1" min="5" max="5"/>
    <col width="16" customWidth="1" min="6" max="6"/>
    <col width="16" customWidth="1" min="7" max="7"/>
    <col width="8" customWidth="1" min="8" max="8"/>
    <col width="14" customWidth="1" min="9" max="9"/>
    <col width="30" customWidth="1" min="10" max="10"/>
    <col width="22" customWidth="1" min="11" max="11"/>
  </cols>
  <sheetData>
    <row r="1" ht="28" customHeight="1">
      <c r="A1" s="13" t="inlineStr">
        <is>
          <t>Date</t>
        </is>
      </c>
      <c r="B1" s="13" t="inlineStr">
        <is>
          <t>Order No</t>
        </is>
      </c>
      <c r="C1" s="13" t="inlineStr">
        <is>
          <t>Status</t>
        </is>
      </c>
      <c r="D1" s="13" t="inlineStr">
        <is>
          <t>Customer</t>
        </is>
      </c>
      <c r="E1" s="13" t="inlineStr">
        <is>
          <t>Phone</t>
        </is>
      </c>
      <c r="F1" s="13" t="inlineStr">
        <is>
          <t>Wilaya</t>
        </is>
      </c>
      <c r="G1" s="13" t="inlineStr">
        <is>
          <t>Commune</t>
        </is>
      </c>
      <c r="H1" s="13" t="inlineStr">
        <is>
          <t>Qty</t>
        </is>
      </c>
      <c r="I1" s="13" t="inlineStr">
        <is>
          <t>Total (DA)</t>
        </is>
      </c>
      <c r="J1" s="13" t="inlineStr">
        <is>
          <t>Notes</t>
        </is>
      </c>
      <c r="K1" s="13" t="inlineStr">
        <is>
          <t>Idempotency Key</t>
        </is>
      </c>
    </row>
    <row r="2">
      <c r="C2" s="22" t="inlineStr">
        <is>
          <t>New</t>
        </is>
      </c>
    </row>
    <row r="3">
      <c r="C3" s="22" t="inlineStr">
        <is>
          <t>New</t>
        </is>
      </c>
    </row>
    <row r="4">
      <c r="C4" s="22" t="inlineStr">
        <is>
          <t>New</t>
        </is>
      </c>
    </row>
    <row r="5">
      <c r="C5" s="22" t="inlineStr">
        <is>
          <t>New</t>
        </is>
      </c>
    </row>
    <row r="6">
      <c r="C6" s="22" t="inlineStr">
        <is>
          <t>New</t>
        </is>
      </c>
    </row>
    <row r="7">
      <c r="C7" s="22" t="inlineStr">
        <is>
          <t>New</t>
        </is>
      </c>
    </row>
    <row r="8">
      <c r="C8" s="22" t="inlineStr">
        <is>
          <t>New</t>
        </is>
      </c>
    </row>
    <row r="9">
      <c r="C9" s="22" t="inlineStr">
        <is>
          <t>New</t>
        </is>
      </c>
    </row>
    <row r="10">
      <c r="C10" s="22" t="inlineStr">
        <is>
          <t>New</t>
        </is>
      </c>
    </row>
    <row r="11">
      <c r="C11" s="22" t="inlineStr">
        <is>
          <t>New</t>
        </is>
      </c>
    </row>
    <row r="12">
      <c r="C12" s="22" t="inlineStr">
        <is>
          <t>New</t>
        </is>
      </c>
    </row>
    <row r="13">
      <c r="C13" s="22" t="inlineStr">
        <is>
          <t>New</t>
        </is>
      </c>
    </row>
    <row r="14">
      <c r="C14" s="22" t="inlineStr">
        <is>
          <t>New</t>
        </is>
      </c>
    </row>
    <row r="15">
      <c r="C15" s="22" t="inlineStr">
        <is>
          <t>New</t>
        </is>
      </c>
    </row>
    <row r="16">
      <c r="C16" s="22" t="inlineStr">
        <is>
          <t>New</t>
        </is>
      </c>
    </row>
    <row r="17">
      <c r="C17" s="22" t="inlineStr">
        <is>
          <t>New</t>
        </is>
      </c>
    </row>
    <row r="18">
      <c r="C18" s="22" t="inlineStr">
        <is>
          <t>New</t>
        </is>
      </c>
    </row>
    <row r="19">
      <c r="C19" s="22" t="inlineStr">
        <is>
          <t>New</t>
        </is>
      </c>
    </row>
    <row r="20">
      <c r="C20" s="22" t="inlineStr">
        <is>
          <t>New</t>
        </is>
      </c>
    </row>
    <row r="21">
      <c r="C21" s="22" t="inlineStr">
        <is>
          <t>New</t>
        </is>
      </c>
    </row>
    <row r="22">
      <c r="C22" s="22" t="inlineStr">
        <is>
          <t>New</t>
        </is>
      </c>
    </row>
    <row r="23">
      <c r="C23" s="22" t="inlineStr">
        <is>
          <t>New</t>
        </is>
      </c>
    </row>
    <row r="24">
      <c r="C24" s="22" t="inlineStr">
        <is>
          <t>New</t>
        </is>
      </c>
    </row>
    <row r="25">
      <c r="C25" s="22" t="inlineStr">
        <is>
          <t>New</t>
        </is>
      </c>
    </row>
    <row r="26">
      <c r="C26" s="22" t="inlineStr">
        <is>
          <t>New</t>
        </is>
      </c>
    </row>
    <row r="27">
      <c r="C27" s="22" t="inlineStr">
        <is>
          <t>New</t>
        </is>
      </c>
    </row>
    <row r="28">
      <c r="C28" s="22" t="inlineStr">
        <is>
          <t>New</t>
        </is>
      </c>
    </row>
    <row r="29">
      <c r="C29" s="22" t="inlineStr">
        <is>
          <t>New</t>
        </is>
      </c>
    </row>
    <row r="30">
      <c r="C30" s="22" t="inlineStr">
        <is>
          <t>New</t>
        </is>
      </c>
    </row>
    <row r="31">
      <c r="C31" s="22" t="inlineStr">
        <is>
          <t>New</t>
        </is>
      </c>
    </row>
    <row r="32">
      <c r="C32" s="22" t="inlineStr">
        <is>
          <t>New</t>
        </is>
      </c>
    </row>
    <row r="33">
      <c r="C33" s="22" t="inlineStr">
        <is>
          <t>New</t>
        </is>
      </c>
    </row>
    <row r="34">
      <c r="C34" s="22" t="inlineStr">
        <is>
          <t>New</t>
        </is>
      </c>
    </row>
    <row r="35">
      <c r="C35" s="22" t="inlineStr">
        <is>
          <t>New</t>
        </is>
      </c>
    </row>
    <row r="36">
      <c r="C36" s="22" t="inlineStr">
        <is>
          <t>New</t>
        </is>
      </c>
    </row>
    <row r="37">
      <c r="C37" s="22" t="inlineStr">
        <is>
          <t>New</t>
        </is>
      </c>
    </row>
    <row r="38">
      <c r="C38" s="22" t="inlineStr">
        <is>
          <t>New</t>
        </is>
      </c>
    </row>
    <row r="39">
      <c r="C39" s="22" t="inlineStr">
        <is>
          <t>New</t>
        </is>
      </c>
    </row>
    <row r="40">
      <c r="C40" s="22" t="inlineStr">
        <is>
          <t>New</t>
        </is>
      </c>
    </row>
    <row r="41">
      <c r="C41" s="22" t="inlineStr">
        <is>
          <t>New</t>
        </is>
      </c>
    </row>
    <row r="42">
      <c r="C42" s="22" t="inlineStr">
        <is>
          <t>New</t>
        </is>
      </c>
    </row>
    <row r="43">
      <c r="C43" s="22" t="inlineStr">
        <is>
          <t>New</t>
        </is>
      </c>
    </row>
    <row r="44">
      <c r="C44" s="22" t="inlineStr">
        <is>
          <t>New</t>
        </is>
      </c>
    </row>
    <row r="45">
      <c r="C45" s="22" t="inlineStr">
        <is>
          <t>New</t>
        </is>
      </c>
    </row>
    <row r="46">
      <c r="C46" s="22" t="inlineStr">
        <is>
          <t>New</t>
        </is>
      </c>
    </row>
    <row r="47">
      <c r="C47" s="22" t="inlineStr">
        <is>
          <t>New</t>
        </is>
      </c>
    </row>
    <row r="48">
      <c r="C48" s="22" t="inlineStr">
        <is>
          <t>New</t>
        </is>
      </c>
    </row>
    <row r="49">
      <c r="C49" s="22" t="inlineStr">
        <is>
          <t>New</t>
        </is>
      </c>
    </row>
    <row r="50">
      <c r="C50" s="22" t="inlineStr">
        <is>
          <t>New</t>
        </is>
      </c>
    </row>
    <row r="51">
      <c r="C51" s="22" t="inlineStr">
        <is>
          <t>New</t>
        </is>
      </c>
    </row>
  </sheetData>
  <autoFilter ref="A1:K1"/>
  <conditionalFormatting sqref="C2:C5000">
    <cfRule type="expression" priority="1" dxfId="0">
      <formula>$C2="New"</formula>
    </cfRule>
    <cfRule type="expression" priority="2" dxfId="1">
      <formula>$C2="Confirmed"</formula>
    </cfRule>
    <cfRule type="expression" priority="3" dxfId="2">
      <formula>$C2="Shipped"</formula>
    </cfRule>
    <cfRule type="expression" priority="4" dxfId="3">
      <formula>$C2="Delivered"</formula>
    </cfRule>
    <cfRule type="expression" priority="5" dxfId="4">
      <formula>$C2="Cancelled"</formula>
    </cfRule>
  </conditionalFormatting>
  <dataValidations count="1">
    <dataValidation sqref="C2:C5000" showDropDown="0" showInputMessage="0" showErrorMessage="0" allowBlank="0" type="list">
      <formula1>"New,Confirmed,Shipped,Delivered,Cancelled"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50" customWidth="1" min="4" max="4"/>
  </cols>
  <sheetData>
    <row r="1" ht="28" customHeight="1">
      <c r="A1" s="13" t="inlineStr">
        <is>
          <t>Product</t>
        </is>
      </c>
      <c r="B1" s="13" t="inlineStr">
        <is>
          <t>Stock</t>
        </is>
      </c>
      <c r="D1" s="3" t="inlineStr">
        <is>
          <t>📦 Stock Management · إدارة المخزون</t>
        </is>
      </c>
    </row>
    <row r="2">
      <c r="A2" s="23" t="inlineStr">
        <is>
          <t>Cemenrete CX</t>
        </is>
      </c>
      <c r="B2" s="23" t="n">
        <v>100</v>
      </c>
      <c r="D2" t="inlineStr"/>
    </row>
    <row r="3">
      <c r="D3" s="24" t="inlineStr">
        <is>
          <t>1. Set stock number in B2 (e.g. 100)</t>
        </is>
      </c>
    </row>
    <row r="4">
      <c r="D4" s="24" t="inlineStr">
        <is>
          <t>2. When you mark order 'Confirmed' → stock auto-reduces</t>
        </is>
      </c>
    </row>
    <row r="5">
      <c r="D5" s="24" t="inlineStr">
        <is>
          <t>3. Stock ≤ 3 → website shows 'low stock' warning</t>
        </is>
      </c>
    </row>
    <row r="6">
      <c r="D6" s="24" t="inlineStr">
        <is>
          <t>4. Stock = 0 → website disables ordering</t>
        </is>
      </c>
    </row>
    <row r="7">
      <c r="D7" s="24" t="inlineStr">
        <is>
          <t>5. To restock → just change B2</t>
        </is>
      </c>
    </row>
    <row r="8">
      <c r="D8" t="inlineStr"/>
    </row>
    <row r="9">
      <c r="D9" s="25" t="inlineStr">
        <is>
          <t>💡 Stock auto-updates via trigger (onEditTrigger)</t>
        </is>
      </c>
    </row>
    <row r="10">
      <c r="D10" s="24" t="inlineStr">
        <is>
          <t xml:space="preserve">   when you change Status to 'Confirmed' in Orders tab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8" customHeight="1">
      <c r="A1" s="13" t="inlineStr">
        <is>
          <t>Setting</t>
        </is>
      </c>
      <c r="B1" s="13" t="inlineStr">
        <is>
          <t>Value</t>
        </is>
      </c>
    </row>
    <row r="2">
      <c r="A2" s="26" t="inlineStr">
        <is>
          <t>brandName</t>
        </is>
      </c>
      <c r="B2" s="27" t="inlineStr">
        <is>
          <t>Dr.Melaxin</t>
        </is>
      </c>
    </row>
    <row r="3">
      <c r="A3" s="26" t="inlineStr">
        <is>
          <t>lineName</t>
        </is>
      </c>
      <c r="B3" s="27" t="inlineStr">
        <is>
          <t>Cemenrete CX</t>
        </is>
      </c>
    </row>
    <row r="4">
      <c r="A4" s="26" t="inlineStr">
        <is>
          <t>subtitle</t>
        </is>
      </c>
      <c r="B4" s="27" t="inlineStr">
        <is>
          <t>Calcium Volume Multi Balm</t>
        </is>
      </c>
    </row>
    <row r="5">
      <c r="A5" s="26" t="inlineStr">
        <is>
          <t>basePrice</t>
        </is>
      </c>
      <c r="B5" s="27" t="n">
        <v>3900</v>
      </c>
    </row>
    <row r="6">
      <c r="A6" s="26" t="inlineStr">
        <is>
          <t>oldPrice</t>
        </is>
      </c>
      <c r="B6" s="27" t="n">
        <v>5800</v>
      </c>
    </row>
    <row r="7">
      <c r="A7" s="26" t="inlineStr">
        <is>
          <t>taglineArabic</t>
        </is>
      </c>
      <c r="B7" s="27" t="inlineStr">
        <is>
          <t>✨ ستيك للعناية بالتجاعيد لبشرة أكثر نعومة وتماسكاً.</t>
        </is>
      </c>
    </row>
    <row r="8">
      <c r="A8" s="26" t="inlineStr">
        <is>
          <t>descriptionArabic</t>
        </is>
      </c>
      <c r="B8" s="27" t="inlineStr">
        <is>
          <t>تساعد تركيبته على تقليل مظهر التجاعيد والخطوط الدقيقة، مع ترطيب البشرة ومنحها مظهراً أكثر إشراقاً ونعومة.</t>
        </is>
      </c>
    </row>
    <row r="9">
      <c r="A9" s="26" t="inlineStr">
        <is>
          <t>benefitsArabic</t>
        </is>
      </c>
      <c r="B9" s="27" t="inlineStr">
        <is>
          <t>مضاد للتجاعيد • تماسك • ترطيب • إشراقة</t>
        </is>
      </c>
    </row>
    <row r="10">
      <c r="A10" s="26" t="inlineStr">
        <is>
          <t>taglineFrench</t>
        </is>
      </c>
      <c r="B10" s="27" t="inlineStr">
        <is>
          <t>✨ Le stick anti-ridules pour une peau visiblement plus lisse et plus ferme.</t>
        </is>
      </c>
    </row>
    <row r="11">
      <c r="A11" s="26" t="inlineStr">
        <is>
          <t>descriptionFrench</t>
        </is>
      </c>
      <c r="B11" s="27" t="inlineStr">
        <is>
          <t>Sa formule aide à réduire l'apparence des rides et ridules, tout en apportant hydratation, confort et éclat à la peau.</t>
        </is>
      </c>
    </row>
    <row r="12">
      <c r="A12" s="26" t="inlineStr">
        <is>
          <t>benefitsFrench</t>
        </is>
      </c>
      <c r="B12" s="27" t="inlineStr">
        <is>
          <t>Anti-ridules • Fermeté • Hydratation • Éclat</t>
        </is>
      </c>
    </row>
    <row r="13">
      <c r="A13" s="26" t="inlineStr">
        <is>
          <t>badgeArabic</t>
        </is>
      </c>
      <c r="B13" s="27" t="inlineStr">
        <is>
          <t>مضاد للتجاعيد</t>
        </is>
      </c>
    </row>
    <row r="14">
      <c r="A14" s="26" t="inlineStr">
        <is>
          <t>freeShipping</t>
        </is>
      </c>
      <c r="B14" s="2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Dr.Melaxin</dc:creator>
  <dcterms:created xmlns:dcterms="http://purl.org/dc/terms/" xmlns:xsi="http://www.w3.org/2001/XMLSchema-instance" xsi:type="dcterms:W3CDTF">2026-08-13T00:58:09Z</dcterms:created>
  <dcterms:modified xmlns:dcterms="http://purl.org/dc/terms/" xmlns:xsi="http://www.w3.org/2001/XMLSchema-instance" xsi:type="dcterms:W3CDTF">2026-08-13T00:58:09Z</dcterms:modified>
</cp:coreProperties>
</file>