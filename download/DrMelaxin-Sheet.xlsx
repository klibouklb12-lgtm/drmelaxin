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ck" sheetId="3" state="visible" r:id="rId3"/>
    <sheet xmlns:r="http://schemas.openxmlformats.org/officeDocument/2006/relationships" name="Statistics" sheetId="4" state="visible" r:id="rId4"/>
  </sheets>
  <definedNames>
    <definedName name="_xlnm._FilterDatabase" localSheetId="1" hidden="1">'Orders'!$A$1:$J$1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C1815"/>
      <sz val="11"/>
    </font>
    <font>
      <name val="Arial"/>
      <b val="1"/>
      <color rgb="001C1815"/>
      <sz val="14"/>
    </font>
    <font>
      <name val="Arial"/>
      <b val="1"/>
      <color rgb="008b1538"/>
      <sz val="12"/>
    </font>
    <font>
      <name val="Arial"/>
      <color rgb="006B6358"/>
      <sz val="10"/>
    </font>
    <font>
      <name val="Arial"/>
      <b val="1"/>
      <color rgb="008b1538"/>
      <sz val="14"/>
    </font>
    <font>
      <name val="Arial"/>
      <b val="1"/>
      <color rgb="006B6358"/>
      <sz val="11"/>
    </font>
    <font>
      <name val="Arial"/>
      <b val="1"/>
      <color rgb="009A7E3A"/>
      <sz val="11"/>
    </font>
    <font>
      <b val="1"/>
      <color rgb="00FFFFFF"/>
    </font>
    <font>
      <b val="1"/>
      <color rgb="001C1815"/>
    </font>
  </fonts>
  <fills count="10">
    <fill>
      <patternFill/>
    </fill>
    <fill>
      <patternFill patternType="gray125"/>
    </fill>
    <fill>
      <patternFill patternType="solid">
        <fgColor rgb="002A2520"/>
      </patternFill>
    </fill>
    <fill>
      <patternFill patternType="solid">
        <fgColor rgb="00FAF8F4"/>
      </patternFill>
    </fill>
    <fill>
      <patternFill patternType="solid">
        <fgColor rgb="00FFFFFF"/>
      </patternFill>
    </fill>
    <fill>
      <patternFill patternType="solid">
        <fgColor rgb="003080FF"/>
      </patternFill>
    </fill>
    <fill>
      <patternFill patternType="solid">
        <fgColor rgb="00016630"/>
      </patternFill>
    </fill>
    <fill>
      <patternFill patternType="solid">
        <fgColor rgb="00FFD700"/>
      </patternFill>
    </fill>
    <fill>
      <patternFill patternType="solid">
        <fgColor rgb="002F7D5B"/>
      </patternFill>
    </fill>
    <fill>
      <patternFill patternType="solid">
        <fgColor rgb="00E40014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3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3" fontId="6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3080FF"/>
        </patternFill>
      </fill>
    </dxf>
    <dxf>
      <font>
        <b val="1"/>
        <color rgb="00FFFFFF"/>
      </font>
      <fill>
        <patternFill patternType="solid">
          <fgColor rgb="00016630"/>
        </patternFill>
      </fill>
    </dxf>
    <dxf>
      <font>
        <b val="1"/>
        <color rgb="001C1815"/>
      </font>
      <fill>
        <patternFill patternType="solid">
          <fgColor rgb="00FFD700"/>
        </patternFill>
      </fill>
    </dxf>
    <dxf>
      <font>
        <b val="1"/>
        <color rgb="00FFFFFF"/>
      </font>
      <fill>
        <patternFill patternType="solid">
          <fgColor rgb="002F7D5B"/>
        </patternFill>
      </fill>
    </dxf>
    <dxf>
      <font>
        <b val="1"/>
        <color rgb="00FFFFFF"/>
      </font>
      <fill>
        <patternFill patternType="solid">
          <fgColor rgb="00E4001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brandName</t>
        </is>
      </c>
      <c r="B2" s="2" t="inlineStr">
        <is>
          <t>Dr.Melaxin</t>
        </is>
      </c>
    </row>
    <row r="3">
      <c r="A3" s="3" t="inlineStr">
        <is>
          <t>lineName</t>
        </is>
      </c>
      <c r="B3" s="3" t="inlineStr">
        <is>
          <t>Cemenrete CX</t>
        </is>
      </c>
    </row>
    <row r="4">
      <c r="A4" s="2" t="inlineStr">
        <is>
          <t>subtitle</t>
        </is>
      </c>
      <c r="B4" s="2" t="inlineStr">
        <is>
          <t>Calcium Volume Multi Balm</t>
        </is>
      </c>
    </row>
    <row r="5">
      <c r="A5" s="3" t="inlineStr">
        <is>
          <t>basePrice</t>
        </is>
      </c>
      <c r="B5" s="3" t="n">
        <v>3900</v>
      </c>
    </row>
    <row r="6">
      <c r="A6" s="2" t="inlineStr">
        <is>
          <t>oldPrice</t>
        </is>
      </c>
      <c r="B6" s="2" t="n">
        <v>5800</v>
      </c>
    </row>
    <row r="7">
      <c r="A7" s="3" t="inlineStr">
        <is>
          <t>taglineArabic</t>
        </is>
      </c>
      <c r="B7" s="3" t="inlineStr">
        <is>
          <t>✨ ستيك للعناية بالتجاعيد لبشرة أكثر نعومة وتماسكاً.</t>
        </is>
      </c>
    </row>
    <row r="8">
      <c r="A8" s="2" t="inlineStr">
        <is>
          <t>descriptionArabic</t>
        </is>
      </c>
      <c r="B8" s="2" t="inlineStr">
        <is>
          <t>تساعد تركيبته على تقليل مظهر التجاعيد والخطوط الدقيقة، مع ترطيب البشرة ومنحها مظهراً أكثر إشراقاً ونعومة.</t>
        </is>
      </c>
    </row>
    <row r="9">
      <c r="A9" s="3" t="inlineStr">
        <is>
          <t>benefitsArabic</t>
        </is>
      </c>
      <c r="B9" s="3" t="inlineStr">
        <is>
          <t>مضاد للتجاعيد • تماسك • ترطيب • إشراقة</t>
        </is>
      </c>
    </row>
    <row r="10">
      <c r="A10" s="2" t="inlineStr">
        <is>
          <t>taglineFrench</t>
        </is>
      </c>
      <c r="B10" s="2" t="inlineStr">
        <is>
          <t>✨ Le stick anti-ridules pour une peau visiblement plus lisse et plus ferme.</t>
        </is>
      </c>
    </row>
    <row r="11">
      <c r="A11" s="3" t="inlineStr">
        <is>
          <t>descriptionFrench</t>
        </is>
      </c>
      <c r="B11" s="3" t="inlineStr">
        <is>
          <t>Sa formule aide à réduire l'apparence des rides et ridules, tout en apportant hydratation, confort et éclat à la peau.</t>
        </is>
      </c>
    </row>
    <row r="12">
      <c r="A12" s="2" t="inlineStr">
        <is>
          <t>benefitsFrench</t>
        </is>
      </c>
      <c r="B12" s="2" t="inlineStr">
        <is>
          <t>Anti-ridules • Fermeté • Hydratation • Éclat</t>
        </is>
      </c>
    </row>
    <row r="13">
      <c r="A13" s="3" t="inlineStr">
        <is>
          <t>badgeArabic</t>
        </is>
      </c>
      <c r="B13" s="3" t="inlineStr">
        <is>
          <t>مضاد للتجاعيد</t>
        </is>
      </c>
    </row>
    <row r="14">
      <c r="A14" s="2" t="inlineStr">
        <is>
          <t>freeShipping</t>
        </is>
      </c>
      <c r="B14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7" customWidth="1" min="8" max="8"/>
    <col width="12" customWidth="1" min="9" max="9"/>
    <col width="25" customWidth="1" min="10" max="10"/>
  </cols>
  <sheetData>
    <row r="1">
      <c r="A1" s="1" t="inlineStr">
        <is>
          <t>Date</t>
        </is>
      </c>
      <c r="B1" s="1" t="inlineStr">
        <is>
          <t>Order No</t>
        </is>
      </c>
      <c r="C1" s="1" t="inlineStr">
        <is>
          <t>Status</t>
        </is>
      </c>
      <c r="D1" s="1" t="inlineStr">
        <is>
          <t>Customer</t>
        </is>
      </c>
      <c r="E1" s="1" t="inlineStr">
        <is>
          <t>Phone</t>
        </is>
      </c>
      <c r="F1" s="1" t="inlineStr">
        <is>
          <t>Wilaya</t>
        </is>
      </c>
      <c r="G1" s="1" t="inlineStr">
        <is>
          <t>Commune</t>
        </is>
      </c>
      <c r="H1" s="1" t="inlineStr">
        <is>
          <t>Qty</t>
        </is>
      </c>
      <c r="I1" s="1" t="inlineStr">
        <is>
          <t>Total (DA)</t>
        </is>
      </c>
      <c r="J1" s="1" t="inlineStr">
        <is>
          <t>Notes</t>
        </is>
      </c>
    </row>
  </sheetData>
  <autoFilter ref="A1:J1"/>
  <conditionalFormatting sqref="C2:C5000">
    <cfRule type="cellIs" priority="1" operator="equal" dxfId="0">
      <formula>"New"</formula>
    </cfRule>
    <cfRule type="cellIs" priority="2" operator="equal" dxfId="1">
      <formula>"Confirmed"</formula>
    </cfRule>
    <cfRule type="cellIs" priority="3" operator="equal" dxfId="2">
      <formula>"Shipped"</formula>
    </cfRule>
    <cfRule type="cellIs" priority="4" operator="equal" dxfId="3">
      <formula>"Delivered"</formula>
    </cfRule>
    <cfRule type="cellIs" priority="5" operator="equal" dxfId="4">
      <formula>"Cancelled"</formula>
    </cfRule>
  </conditionalFormatting>
  <dataValidations count="1">
    <dataValidation sqref="C2:C5000" showDropDown="0" showInputMessage="0" showErrorMessage="0" allowBlank="0" type="list">
      <formula1>"New,Confirmed,Shipped,Delivered,Cancelled"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4" max="4"/>
  </cols>
  <sheetData>
    <row r="1">
      <c r="A1" s="1" t="inlineStr">
        <is>
          <t>Product</t>
        </is>
      </c>
      <c r="B1" s="1" t="inlineStr">
        <is>
          <t>Stock</t>
        </is>
      </c>
      <c r="D1" s="4" t="inlineStr">
        <is>
          <t>How it works</t>
        </is>
      </c>
    </row>
    <row r="2">
      <c r="A2" s="5" t="inlineStr">
        <is>
          <t>Cemenrete CX</t>
        </is>
      </c>
      <c r="B2" s="5" t="n">
        <v>100</v>
      </c>
      <c r="D2" s="6" t="inlineStr">
        <is>
          <t>1. Set stock in B2 (e.g. 100)</t>
        </is>
      </c>
    </row>
    <row r="3">
      <c r="D3" s="6" t="inlineStr">
        <is>
          <t>2. Website checks this number</t>
        </is>
      </c>
    </row>
    <row r="4">
      <c r="D4" s="6" t="inlineStr">
        <is>
          <t>3. Stock &lt;= 3: website shows warning</t>
        </is>
      </c>
    </row>
    <row r="5">
      <c r="D5" s="6" t="inlineStr">
        <is>
          <t>4. Stock = 0: ordering disabled</t>
        </is>
      </c>
    </row>
    <row r="6">
      <c r="D6" s="6" t="inlineStr">
        <is>
          <t>5. Change B2 anytime to restock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Statistics</t>
        </is>
      </c>
    </row>
    <row r="3">
      <c r="A3" s="8" t="inlineStr">
        <is>
          <t>Total Orders</t>
        </is>
      </c>
      <c r="B3" s="9">
        <f>COUNTA(Orders!B2:B)</f>
        <v/>
      </c>
    </row>
    <row r="4">
      <c r="A4" s="8" t="inlineStr">
        <is>
          <t>Total Revenue (DA)</t>
        </is>
      </c>
      <c r="B4" s="9">
        <f>SUM(Orders!I2:I)</f>
        <v/>
      </c>
    </row>
    <row r="5">
      <c r="A5" s="8" t="inlineStr">
        <is>
          <t>Avg Order (DA)</t>
        </is>
      </c>
      <c r="B5" s="9">
        <f>IFERROR(ROUND(AVERAGE(Orders!I2:I),0),0)</f>
        <v/>
      </c>
    </row>
    <row r="6">
      <c r="A6" s="8" t="inlineStr">
        <is>
          <t>Current Stock</t>
        </is>
      </c>
      <c r="B6" s="9">
        <f>Stock!B2</f>
        <v/>
      </c>
    </row>
    <row r="8">
      <c r="A8" s="10" t="inlineStr">
        <is>
          <t>By Status</t>
        </is>
      </c>
    </row>
    <row r="9">
      <c r="A9" s="1" t="inlineStr">
        <is>
          <t>Status</t>
        </is>
      </c>
      <c r="B9" s="1" t="inlineStr">
        <is>
          <t>Count</t>
        </is>
      </c>
    </row>
    <row r="10">
      <c r="A10" s="11" t="inlineStr">
        <is>
          <t>New</t>
        </is>
      </c>
      <c r="B10" s="12">
        <f>COUNTIF(Orders!C2:C,"New")</f>
        <v/>
      </c>
    </row>
    <row r="11">
      <c r="A11" s="13" t="inlineStr">
        <is>
          <t>Confirmed</t>
        </is>
      </c>
      <c r="B11" s="12">
        <f>COUNTIF(Orders!C2:C,"Confirmed")</f>
        <v/>
      </c>
    </row>
    <row r="12">
      <c r="A12" s="14" t="inlineStr">
        <is>
          <t>Shipped</t>
        </is>
      </c>
      <c r="B12" s="12">
        <f>COUNTIF(Orders!C2:C,"Shipped")</f>
        <v/>
      </c>
    </row>
    <row r="13">
      <c r="A13" s="15" t="inlineStr">
        <is>
          <t>Delivered</t>
        </is>
      </c>
      <c r="B13" s="12">
        <f>COUNTIF(Orders!C2:C,"Delivered")</f>
        <v/>
      </c>
    </row>
    <row r="14">
      <c r="A14" s="16" t="inlineStr">
        <is>
          <t>Cancelled</t>
        </is>
      </c>
      <c r="B14" s="12">
        <f>COUNTIF(Orders!C2:C,"Cancelled")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2026-08-12T17:51:28Z</dcterms:created>
  <dcterms:modified xmlns:dcterms="http://purl.org/dc/terms/" xmlns:xsi="http://www.w3.org/2001/XMLSchema-instance" xsi:type="dcterms:W3CDTF">2026-08-12T17:51:28Z</dcterms:modified>
</cp:coreProperties>
</file>